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ales" sheetId="1" r:id="rId1"/>
    <sheet name="Summary" sheetId="2" r:id="rId2"/>
    <sheet name="Loan" sheetId="3" r:id="rId3"/>
  </sheets>
  <definedNames>
    <definedName name="Amount">Loan!$B$3</definedName>
    <definedName name="Rate">Loan!$B$4</definedName>
    <definedName name="Months">Loan!$B$5</definedName>
  </definedNames>
  <calcPr calcId="191029" fullCalcOnLoad="1"/>
</workbook>
</file>

<file path=xl/sharedStrings.xml><?xml version="1.0" encoding="utf-8"?>
<sst xmlns="http://schemas.openxmlformats.org/spreadsheetml/2006/main" count="30" uniqueCount="30">
  <si>
    <t>Onyx Café — Sales 2026</t>
  </si>
  <si>
    <t>Takings by product and month, in euros</t>
  </si>
  <si>
    <t>Month</t>
  </si>
  <si>
    <t>Coffee</t>
  </si>
  <si>
    <t>Tea</t>
  </si>
  <si>
    <t>Pastries</t>
  </si>
  <si>
    <t>Total</t>
  </si>
  <si>
    <t>Change</t>
  </si>
  <si>
    <t>Average</t>
  </si>
  <si>
    <t>Best month</t>
  </si>
  <si>
    <t>Summary of the year</t>
  </si>
  <si>
    <t>Product</t>
  </si>
  <si>
    <t>Takings</t>
  </si>
  <si>
    <t>Share</t>
  </si>
  <si>
    <t>Busiest month</t>
  </si>
  <si>
    <t>Quietest month</t>
  </si>
  <si>
    <t>Months over 7,500 €</t>
  </si>
  <si>
    <t>Summer's share</t>
  </si>
  <si>
    <t>Coffee, trend a month</t>
  </si>
  <si>
    <t>Tea: best / worst</t>
  </si>
  <si>
    <t>Espresso machine loan</t>
  </si>
  <si>
    <t>Amount</t>
  </si>
  <si>
    <t>Yearly rate</t>
  </si>
  <si>
    <t>Months</t>
  </si>
  <si>
    <t>Monthly payment</t>
  </si>
  <si>
    <t>Total interest</t>
  </si>
  <si>
    <t>Payment</t>
  </si>
  <si>
    <t>Interest</t>
  </si>
  <si>
    <t>Principal</t>
  </si>
  <si>
    <t>Balance</t>
  </si>
</sst>
</file>

<file path=xl/styles.xml><?xml version="1.0" encoding="utf-8"?>
<styleSheet xmlns="http://schemas.openxmlformats.org/spreadsheetml/2006/main">
  <numFmts count="5">
    <numFmt numFmtId="164" formatCode="+0.0%;[Red]-0.0%;0.0%"/>
    <numFmt numFmtId="165" formatCode="mmmm"/>
    <numFmt numFmtId="166" formatCode="#,##0.00 €"/>
    <numFmt numFmtId="167" formatCode="0.0%"/>
    <numFmt numFmtId="168" formatCode="+#,##0.00 €;-#,##0.00 €"/>
  </numFmts>
  <fonts count="7">
    <font>
      <sz val="10"/>
      <name val="Liberation Sans"/>
    </font>
    <font>
      <b/>
      <sz val="16"/>
      <color rgb="FF1D5560"/>
      <name val="Liberation Sans"/>
    </font>
    <font>
      <b/>
      <sz val="10"/>
      <name val="Liberation Sans"/>
    </font>
    <font>
      <i/>
      <sz val="10"/>
      <color rgb="FF6B6B6B"/>
      <name val="Liberation Sans"/>
    </font>
    <font>
      <b/>
      <sz val="10"/>
      <color rgb="FFFFFFFF"/>
      <name val="Liberation Sans"/>
    </font>
    <font>
      <b/>
      <sz val="14"/>
      <color rgb="FF1D5560"/>
      <name val="Liberation Sans"/>
    </font>
    <font>
      <sz val="10"/>
      <color rgb="FF6B6B6B"/>
      <name val="Liberation Sans"/>
    </font>
  </fonts>
  <fills count="5">
    <fill>
      <patternFill patternType="none"/>
    </fill>
    <fill>
      <patternFill patternType="gray125"/>
    </fill>
    <fill>
      <patternFill patternType="solid">
        <fgColor rgb="FFEEF5F6"/>
        <bgColor indexed="64"/>
      </patternFill>
    </fill>
    <fill>
      <patternFill patternType="solid">
        <fgColor rgb="FF2F7F8F"/>
        <bgColor indexed="64"/>
      </patternFill>
    </fill>
    <fill>
      <patternFill patternType="solid">
        <fgColor rgb="FFFFF2C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1D5560"/>
      </bottom>
      <diagonal/>
    </border>
    <border>
      <left/>
      <right/>
      <top/>
      <bottom style="thin">
        <color rgb="FF9DBFC6"/>
      </bottom>
      <diagonal/>
    </border>
    <border>
      <left/>
      <right/>
      <top/>
      <bottom style="medium">
        <color rgb="FF1D5560"/>
      </bottom>
      <diagonal/>
    </border>
    <border>
      <left/>
      <right/>
      <top style="thin">
        <color rgb="FF1D5560"/>
      </top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164" fontId="0" fillId="2" borderId="0" xfId="0" applyNumberFormat="1" applyFill="1"/>
    <xf numFmtId="165" fontId="0" fillId="2" borderId="0" xfId="0" applyNumberFormat="1" applyFill="1"/>
    <xf numFmtId="164" fontId="2" fillId="0" borderId="1" xfId="0" applyNumberFormat="1" applyFont="1" applyBorder="1"/>
    <xf numFmtId="166" fontId="2" fillId="0" borderId="0" xfId="0" applyNumberFormat="1" applyFont="1"/>
    <xf numFmtId="165" fontId="0" fillId="0" borderId="0" xfId="0" applyNumberFormat="1"/>
    <xf numFmtId="166" fontId="3" fillId="0" borderId="0" xfId="0" applyNumberFormat="1" applyFont="1"/>
    <xf numFmtId="166" fontId="0" fillId="2" borderId="0" xfId="0" applyNumberFormat="1" applyFill="1"/>
    <xf numFmtId="166" fontId="0" fillId="2" borderId="2" xfId="0" applyNumberFormat="1" applyFill="1" applyBorder="1"/>
    <xf numFmtId="166" fontId="2" fillId="2" borderId="0" xfId="0" applyNumberFormat="1" applyFont="1" applyFill="1"/>
    <xf numFmtId="165" fontId="0" fillId="2" borderId="2" xfId="0" applyNumberFormat="1" applyFill="1" applyBorder="1"/>
    <xf numFmtId="166" fontId="0" fillId="0" borderId="0" xfId="0" applyNumberFormat="1"/>
    <xf numFmtId="0" fontId="4" fillId="3" borderId="3" xfId="0" applyFont="1" applyFill="1" applyBorder="1" applyAlignment="1">
      <alignment horizontal="center" vertical="center"/>
    </xf>
    <xf numFmtId="0" fontId="3" fillId="0" borderId="0" xfId="0" applyFont="1"/>
    <xf numFmtId="165" fontId="0" fillId="0" borderId="0" xfId="0" applyNumberFormat="1" applyAlignment="1">
      <alignment horizontal="left"/>
    </xf>
    <xf numFmtId="164" fontId="0" fillId="0" borderId="0" xfId="0" applyNumberFormat="1"/>
    <xf numFmtId="166" fontId="2" fillId="2" borderId="2" xfId="0" applyNumberFormat="1" applyFont="1" applyFill="1" applyBorder="1"/>
    <xf numFmtId="166" fontId="2" fillId="0" borderId="1" xfId="0" applyNumberFormat="1" applyFont="1" applyBorder="1"/>
    <xf numFmtId="164" fontId="0" fillId="2" borderId="2" xfId="0" applyNumberFormat="1" applyFill="1" applyBorder="1"/>
    <xf numFmtId="0" fontId="2" fillId="0" borderId="1" xfId="0" applyFont="1" applyBorder="1"/>
    <xf numFmtId="0" fontId="5" fillId="0" borderId="0" xfId="0" applyFont="1" applyAlignment="1">
      <alignment vertical="center"/>
    </xf>
    <xf numFmtId="0" fontId="6" fillId="0" borderId="0" xfId="0" applyFont="1"/>
    <xf numFmtId="165" fontId="0" fillId="0" borderId="0" xfId="0" applyNumberFormat="1" applyAlignment="1">
      <alignment horizontal="right"/>
    </xf>
    <xf numFmtId="167" fontId="0" fillId="2" borderId="0" xfId="0" applyNumberFormat="1" applyFill="1"/>
    <xf numFmtId="0" fontId="0" fillId="2" borderId="0" xfId="0" applyFill="1"/>
    <xf numFmtId="0" fontId="0" fillId="0" borderId="0" xfId="0" applyAlignment="1">
      <alignment horizontal="right"/>
    </xf>
    <xf numFmtId="167" fontId="2" fillId="0" borderId="4" xfId="0" applyNumberFormat="1" applyFont="1" applyBorder="1"/>
    <xf numFmtId="167" fontId="0" fillId="0" borderId="0" xfId="0" applyNumberFormat="1"/>
    <xf numFmtId="0" fontId="2" fillId="0" borderId="4" xfId="0" applyFont="1" applyBorder="1"/>
    <xf numFmtId="167" fontId="0" fillId="0" borderId="0" xfId="0" applyNumberFormat="1" applyAlignment="1">
      <alignment horizontal="right"/>
    </xf>
    <xf numFmtId="166" fontId="2" fillId="0" borderId="4" xfId="0" applyNumberFormat="1" applyFont="1" applyBorder="1"/>
    <xf numFmtId="168" fontId="0" fillId="0" borderId="0" xfId="0" applyNumberFormat="1" applyAlignment="1">
      <alignment horizontal="right"/>
    </xf>
    <xf numFmtId="0" fontId="0" fillId="2" borderId="0" xfId="0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166" fontId="0" fillId="4" borderId="5" xfId="0" applyNumberFormat="1" applyFill="1" applyBorder="1"/>
    <xf numFmtId="10" fontId="0" fillId="4" borderId="5" xfId="0" applyNumberFormat="1" applyFill="1" applyBorder="1"/>
    <xf numFmtId="0" fontId="0" fillId="4" borderId="5" xfId="0" applyFill="1" applyBorder="1"/>
  </cellXfs>
  <cellStyles count="1">
    <cellStyle name="Normal" xfId="0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Takings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Sales!$B$4</c:f>
            </c:strRef>
          </c:tx>
          <c:cat>
            <c:strRef>
              <c:f>Sales!$A$5:$A$16</c:f>
            </c:strRef>
          </c:cat>
          <c:val>
            <c:numRef>
              <c:f>Sales!$B$5:$B$16</c:f>
            </c:numRef>
          </c:val>
        </c:ser>
        <c:ser>
          <c:idx val="1"/>
          <c:order val="1"/>
          <c:tx>
            <c:strRef>
              <c:f>Sales!$C$4</c:f>
            </c:strRef>
          </c:tx>
          <c:cat>
            <c:strRef>
              <c:f>Sales!$A$5:$A$16</c:f>
            </c:strRef>
          </c:cat>
          <c:val>
            <c:numRef>
              <c:f>Sales!$C$5:$C$16</c:f>
            </c:numRef>
          </c:val>
        </c:ser>
        <c:ser>
          <c:idx val="2"/>
          <c:order val="2"/>
          <c:tx>
            <c:strRef>
              <c:f>Sales!$D$4</c:f>
            </c:strRef>
          </c:tx>
          <c:cat>
            <c:strRef>
              <c:f>Sales!$A$5:$A$16</c:f>
            </c:strRef>
          </c:cat>
          <c:val>
            <c:numRef>
              <c:f>Sales!$D$5:$D$16</c:f>
            </c:numRef>
          </c:val>
        </c:ser>
        <c:gapWidth val="150"/>
        <c:axId val="111"/>
        <c:axId val="222"/>
      </c:barChart>
      <c:catAx>
        <c:axId val="111"/>
        <c:scaling>
          <c:orientation val="minMax"/>
        </c:scaling>
        <c:delete val="0"/>
        <c:axPos val="b"/>
        <c:crossAx val="222"/>
      </c:catAx>
      <c:valAx>
        <c:axId val="222"/>
        <c:scaling>
          <c:orientation val="minMax"/>
        </c:scaling>
        <c:delete val="0"/>
        <c:axPos val="l"/>
        <c:majorGridlines/>
        <c:numFmt formatCode="General" sourceLinked="1"/>
        <c:crossAx val="111"/>
      </c:valAx>
    </c:plotArea>
    <c:legend>
      <c:legendPos val="b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Share of the takings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Summary!$B$3</c:f>
            </c:strRef>
          </c:tx>
          <c:cat>
            <c:strRef>
              <c:f>Summary!$A$4:$A$6</c:f>
            </c:strRef>
          </c:cat>
          <c:val>
            <c:numRef>
              <c:f>Summary!$B$4:$B$6</c:f>
            </c:numRef>
          </c:val>
        </c:ser>
        <c:firstSliceAng val="0"/>
      </c:pieChart>
    </c:plotArea>
    <c:legend>
      <c:legendPos val="r"/>
      <c:overlay val="0"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What is left to pay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Loan!$E$9</c:f>
            </c:strRef>
          </c:tx>
          <c:val>
            <c:numRef>
              <c:f>Loan!$E$10:$E$45</c:f>
            </c:numRef>
          </c:val>
        </c:ser>
        <c:axId val="111"/>
        <c:axId val="222"/>
      </c:areaChart>
      <c:catAx>
        <c:axId val="111"/>
        <c:scaling>
          <c:orientation val="minMax"/>
        </c:scaling>
        <c:delete val="0"/>
        <c:axPos val="b"/>
        <c:crossAx val="222"/>
      </c:catAx>
      <c:valAx>
        <c:axId val="222"/>
        <c:scaling>
          <c:orientation val="minMax"/>
        </c:scaling>
        <c:delete val="0"/>
        <c:axPos val="l"/>
        <c:majorGridlines/>
        <c:numFmt formatCode="General" sourceLinked="1"/>
        <c:crossAx val="111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6</xdr:col>
      <xdr:colOff>114300</xdr:colOff>
      <xdr:row>3</xdr:row>
      <xdr:rowOff>0</xdr:rowOff>
    </xdr:from>
    <xdr:to>
      <xdr:col>11</xdr:col>
      <xdr:colOff>76200</xdr:colOff>
      <xdr:row>20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3</xdr:col>
      <xdr:colOff>228600</xdr:colOff>
      <xdr:row>2</xdr:row>
      <xdr:rowOff>0</xdr:rowOff>
    </xdr:from>
    <xdr:to>
      <xdr:col>8</xdr:col>
      <xdr:colOff>38100</xdr:colOff>
      <xdr:row>18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5</xdr:col>
      <xdr:colOff>190500</xdr:colOff>
      <xdr:row>2</xdr:row>
      <xdr:rowOff>0</xdr:rowOff>
    </xdr:from>
    <xdr:to>
      <xdr:col>10</xdr:col>
      <xdr:colOff>190500</xdr:colOff>
      <xdr:row>16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 tabSelected="1">
      <selection activeCell="A1" sqref="A1"/>
    </sheetView>
  </sheetViews>
  <sheetFormatPr defaultRowHeight="12.75" defaultColWidth="11.4258"/>
  <cols>
    <col min="1" max="1" width="14" customWidth="1"/>
    <col min="2" max="2" width="12.8555" customWidth="1"/>
    <col min="3" max="3" width="12" customWidth="1"/>
    <col min="4" max="4" width="12.8555" customWidth="1"/>
    <col min="5" max="5" width="13.7109" customWidth="1"/>
    <col min="6" max="6" width="9.42578" customWidth="1"/>
  </cols>
  <sheetData>
    <row r="1" ht="22.5" customHeight="1">
      <c r="A1" s="1" t="s">
        <v>0</v>
      </c>
      <c r="B1" s="1"/>
      <c r="C1" s="1"/>
      <c r="D1" s="1"/>
      <c r="E1" s="1"/>
      <c r="F1" s="1"/>
    </row>
    <row r="2">
      <c r="A2" s="14" t="s">
        <v>1</v>
      </c>
      <c r="B2" s="14"/>
      <c r="C2" s="14"/>
      <c r="D2" s="14"/>
      <c r="E2" s="14"/>
      <c r="F2" s="14"/>
    </row>
    <row r="4" ht="18" customHeight="1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</row>
    <row r="5">
      <c r="A5" s="6">
        <f>DATE(2026,1,1)</f>
        <v>46023</v>
      </c>
      <c r="B5" s="12">
        <v>3120.5</v>
      </c>
      <c r="C5" s="12">
        <v>1240.2</v>
      </c>
      <c r="D5" s="12">
        <v>2050</v>
      </c>
      <c r="E5" s="5">
        <f>SUM(B5:D5)</f>
        <v>6410.6999999999998</v>
      </c>
      <c r="F5" s="16"/>
    </row>
    <row r="6">
      <c r="A6" s="3">
        <f>DATE(2026,2,1)</f>
        <v>46054</v>
      </c>
      <c r="B6" s="8">
        <v>2980.25</v>
      </c>
      <c r="C6" s="8">
        <v>1310</v>
      </c>
      <c r="D6" s="8">
        <v>1920.4000000000001</v>
      </c>
      <c r="E6" s="10">
        <f>SUM(B6:D6)</f>
        <v>6210.6499999999996</v>
      </c>
      <c r="F6" s="2">
        <f>E6/E5-1</f>
        <v>-0.031205640569672566</v>
      </c>
    </row>
    <row r="7">
      <c r="A7" s="6">
        <f>DATE(2026,3,1)</f>
        <v>46082</v>
      </c>
      <c r="B7" s="12">
        <v>3410</v>
      </c>
      <c r="C7" s="12">
        <v>1150.5</v>
      </c>
      <c r="D7" s="12">
        <v>2180.6999999999998</v>
      </c>
      <c r="E7" s="5">
        <f>SUM(B7:D7)</f>
        <v>6741.1999999999998</v>
      </c>
      <c r="F7" s="16">
        <f>E7/E6-1</f>
        <v>0.085425841095537525</v>
      </c>
    </row>
    <row r="8">
      <c r="A8" s="3">
        <f>DATE(2026,4,1)</f>
        <v>46113</v>
      </c>
      <c r="B8" s="8">
        <v>3562.75</v>
      </c>
      <c r="C8" s="8">
        <v>980.75</v>
      </c>
      <c r="D8" s="8">
        <v>2240</v>
      </c>
      <c r="E8" s="10">
        <f>SUM(B8:D8)</f>
        <v>6783.5</v>
      </c>
      <c r="F8" s="2">
        <f>E8/E7-1</f>
        <v>0.006274847208212142</v>
      </c>
    </row>
    <row r="9">
      <c r="A9" s="6">
        <f>DATE(2026,5,1)</f>
        <v>46143</v>
      </c>
      <c r="B9" s="12">
        <v>3890.4000000000001</v>
      </c>
      <c r="C9" s="12">
        <v>870</v>
      </c>
      <c r="D9" s="12">
        <v>2360.1999999999998</v>
      </c>
      <c r="E9" s="5">
        <f>SUM(B9:D9)</f>
        <v>7120.5999999999995</v>
      </c>
      <c r="F9" s="16">
        <f>E9/E8-1</f>
        <v>0.049694110709810557</v>
      </c>
    </row>
    <row r="10">
      <c r="A10" s="3">
        <f>DATE(2026,6,1)</f>
        <v>46174</v>
      </c>
      <c r="B10" s="8">
        <v>4210</v>
      </c>
      <c r="C10" s="8">
        <v>760.29999999999995</v>
      </c>
      <c r="D10" s="8">
        <v>2410.9000000000001</v>
      </c>
      <c r="E10" s="10">
        <f>SUM(B10:D10)</f>
        <v>7381.2000000000007</v>
      </c>
      <c r="F10" s="2">
        <f>E10/E9-1</f>
        <v>0.036598039491054335</v>
      </c>
    </row>
    <row r="11">
      <c r="A11" s="6">
        <f>DATE(2026,7,1)</f>
        <v>46204</v>
      </c>
      <c r="B11" s="12">
        <v>4480.6000000000004</v>
      </c>
      <c r="C11" s="12">
        <v>690.10000000000002</v>
      </c>
      <c r="D11" s="12">
        <v>2520.5</v>
      </c>
      <c r="E11" s="5">
        <f>SUM(B11:D11)</f>
        <v>7691.2000000000007</v>
      </c>
      <c r="F11" s="16">
        <f>E11/E10-1</f>
        <v>0.041998591015011133</v>
      </c>
    </row>
    <row r="12">
      <c r="A12" s="3">
        <f>DATE(2026,8,1)</f>
        <v>46235</v>
      </c>
      <c r="B12" s="8">
        <v>3950.1999999999998</v>
      </c>
      <c r="C12" s="8">
        <v>720</v>
      </c>
      <c r="D12" s="8">
        <v>2130</v>
      </c>
      <c r="E12" s="10">
        <f>SUM(B12:D12)</f>
        <v>6800.1999999999998</v>
      </c>
      <c r="F12" s="2">
        <f>E12/E11-1</f>
        <v>-0.11584668192219694</v>
      </c>
    </row>
    <row r="13">
      <c r="A13" s="6">
        <f>DATE(2026,9,1)</f>
        <v>46266</v>
      </c>
      <c r="B13" s="12">
        <v>3720</v>
      </c>
      <c r="C13" s="12">
        <v>910.45000000000005</v>
      </c>
      <c r="D13" s="12">
        <v>2290.5999999999999</v>
      </c>
      <c r="E13" s="5">
        <f>SUM(B13:D13)</f>
        <v>6921.0499999999993</v>
      </c>
      <c r="F13" s="16">
        <f>E13/E12-1</f>
        <v>0.017771536131290233</v>
      </c>
    </row>
    <row r="14">
      <c r="A14" s="3">
        <f>DATE(2026,10,1)</f>
        <v>46296</v>
      </c>
      <c r="B14" s="8">
        <v>3641.5</v>
      </c>
      <c r="C14" s="8">
        <v>1120</v>
      </c>
      <c r="D14" s="8">
        <v>2310</v>
      </c>
      <c r="E14" s="10">
        <f>SUM(B14:D14)</f>
        <v>7071.5</v>
      </c>
      <c r="F14" s="2">
        <f>E14/E13-1</f>
        <v>0.021738031079099329</v>
      </c>
    </row>
    <row r="15">
      <c r="A15" s="6">
        <f>DATE(2026,11,1)</f>
        <v>46327</v>
      </c>
      <c r="B15" s="12">
        <v>3380.9000000000001</v>
      </c>
      <c r="C15" s="12">
        <v>1290.8</v>
      </c>
      <c r="D15" s="12">
        <v>2240.3499999999999</v>
      </c>
      <c r="E15" s="5">
        <f>SUM(B15:D15)</f>
        <v>6912.0499999999993</v>
      </c>
      <c r="F15" s="16">
        <f>E15/E14-1</f>
        <v>-0.022548257088312318</v>
      </c>
    </row>
    <row r="16">
      <c r="A16" s="11">
        <f>DATE(2026,12,1)</f>
        <v>46357</v>
      </c>
      <c r="B16" s="9">
        <v>4120.3000000000002</v>
      </c>
      <c r="C16" s="9">
        <v>1420.5999999999999</v>
      </c>
      <c r="D16" s="9">
        <v>2870.25</v>
      </c>
      <c r="E16" s="17">
        <f>SUM(B16:D16)</f>
        <v>8411.1499999999996</v>
      </c>
      <c r="F16" s="19">
        <f>E16/E15-1</f>
        <v>0.21688211167453941</v>
      </c>
    </row>
    <row r="17">
      <c r="A17" s="20" t="s">
        <v>6</v>
      </c>
      <c r="B17" s="18">
        <f>SUM(B5:B16)</f>
        <v>44467.400000000001</v>
      </c>
      <c r="C17" s="18">
        <f>SUM(C5:C16)</f>
        <v>12463.700000000001</v>
      </c>
      <c r="D17" s="18">
        <f>SUM(D5:D16)</f>
        <v>27523.899999999994</v>
      </c>
      <c r="E17" s="18">
        <f>SUM(E5:E16)</f>
        <v>84455</v>
      </c>
      <c r="F17" s="4">
        <f>E16/E5-1</f>
        <v>0.31204860623644848</v>
      </c>
    </row>
    <row r="18">
      <c r="A18" s="14" t="s">
        <v>8</v>
      </c>
      <c r="B18" s="7">
        <f>AVERAGE(B5:B16)</f>
        <v>3705.6166666666668</v>
      </c>
      <c r="C18" s="7">
        <f>AVERAGE(C5:C16)</f>
        <v>1038.6416666666667</v>
      </c>
      <c r="D18" s="7">
        <f>AVERAGE(D5:D16)</f>
        <v>2293.6583333333328</v>
      </c>
      <c r="E18" s="7">
        <f>AVERAGE(E5:E16)</f>
        <v>7037.916666666667</v>
      </c>
    </row>
    <row r="19">
      <c r="A19" t="s">
        <v>9</v>
      </c>
      <c r="B19" s="15">
        <f>INDEX(A5:A16,MATCH(MAX(E5:E16),E5:E16,0))</f>
        <v>46357</v>
      </c>
      <c r="C19" s="12">
        <f>MAX(E5:E16)</f>
        <v>8411.1499999999996</v>
      </c>
      <c r="D19" s="12"/>
      <c r="E19" s="12"/>
    </row>
  </sheetData>
  <mergeCells count="2">
    <mergeCell ref="A1:F1"/>
    <mergeCell ref="A2:F2"/>
  </mergeCells>
  <conditionalFormatting sqref="E5:E16">
    <cfRule type="dataBar" priority="1">
      <dataBar>
        <cfvo type="min"/>
        <cfvo type="max"/>
        <color rgb="FF6FA8DC"/>
      </dataBar>
    </cfRule>
  </conditionalFormatting>
  <conditionalFormatting sqref="B5:B16">
    <cfRule type="top10" dxfId="0" priority="2" rank="3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2.75" defaultColWidth="11.4258"/>
  <cols>
    <col min="1" max="1" width="21.4258" customWidth="1"/>
    <col min="2" max="2" width="15.7109" customWidth="1"/>
    <col min="3" max="3" width="10" customWidth="1"/>
  </cols>
  <sheetData>
    <row r="1" ht="21" customHeight="1">
      <c r="A1" s="21" t="s">
        <v>10</v>
      </c>
      <c r="B1" s="21"/>
      <c r="C1" s="21"/>
    </row>
    <row r="3" ht="18" customHeight="1">
      <c r="A3" s="13" t="s">
        <v>11</v>
      </c>
      <c r="B3" s="13" t="s">
        <v>12</v>
      </c>
      <c r="C3" s="13" t="s">
        <v>13</v>
      </c>
    </row>
    <row r="4">
      <c r="A4" t="s">
        <v>3</v>
      </c>
      <c r="B4" s="12">
        <f>Sales!B17</f>
        <v>44467.400000000001</v>
      </c>
      <c r="C4" s="28">
        <f>B4/$B$7</f>
        <v>0.52652181635190343</v>
      </c>
    </row>
    <row r="5">
      <c r="A5" s="25" t="s">
        <v>4</v>
      </c>
      <c r="B5" s="8">
        <f>Sales!C17</f>
        <v>12463.700000000001</v>
      </c>
      <c r="C5" s="24">
        <f>B5/$B$7</f>
        <v>0.14757800011840627</v>
      </c>
    </row>
    <row r="6">
      <c r="A6" t="s">
        <v>5</v>
      </c>
      <c r="B6" s="12">
        <f>Sales!D17</f>
        <v>27523.899999999994</v>
      </c>
      <c r="C6" s="28">
        <f>B6/$B$7</f>
        <v>0.3259001835296903</v>
      </c>
    </row>
    <row r="7">
      <c r="A7" s="29" t="s">
        <v>6</v>
      </c>
      <c r="B7" s="31">
        <f>SUM(B4:B6)</f>
        <v>84455</v>
      </c>
      <c r="C7" s="27">
        <f>SUM(C4:C6)</f>
        <v>1</v>
      </c>
    </row>
    <row r="9">
      <c r="A9" s="22" t="s">
        <v>14</v>
      </c>
      <c r="B9" s="23">
        <f>INDEX(Sales!A5:A16,MATCH(MAX(Sales!E5:E16),Sales!E5:E16,0))</f>
        <v>46357</v>
      </c>
    </row>
    <row r="10">
      <c r="A10" s="22" t="s">
        <v>15</v>
      </c>
      <c r="B10" s="23">
        <f>INDEX(Sales!A5:A16,MATCH(MIN(Sales!E5:E16),Sales!E5:E16,0))</f>
        <v>46054</v>
      </c>
    </row>
    <row r="11">
      <c r="A11" s="22" t="s">
        <v>16</v>
      </c>
      <c r="B11" s="26">
        <f>COUNTIF(Sales!E5:E16,"&gt;7500")</f>
        <v>2</v>
      </c>
    </row>
    <row r="12">
      <c r="A12" s="22" t="s">
        <v>17</v>
      </c>
      <c r="B12" s="30">
        <f>SUMPRODUCT((MONTH(Sales!A5:A16)&gt;=6)*(MONTH(Sales!A5:A16)&lt;=8)*Sales!E5:E16)/B7</f>
        <v>0.25898525842164472</v>
      </c>
    </row>
    <row r="13">
      <c r="A13" s="22" t="s">
        <v>18</v>
      </c>
      <c r="B13" s="32">
        <f>SLOPE(Sales!B5:B16,MONTH(Sales!A5:A16))</f>
        <v>61.050349650349652</v>
      </c>
    </row>
    <row r="14">
      <c r="A14" s="22" t="s">
        <v>19</v>
      </c>
      <c r="B14" s="26" t="str">
        <f>TEXT(MAX(Sales!C5:C16),"#,##0")&amp;" / "&amp;TEXT(MIN(Sales!C5:C16),"#,##0")</f>
        <v>1,421 / 690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5"/>
  <sheetViews>
    <sheetView workbookViewId="0">
      <pane ySplit="9" topLeftCell="A10" activePane="bottomLeft" state="frozen"/>
      <selection activeCell="A1" sqref="A1"/>
    </sheetView>
  </sheetViews>
  <sheetFormatPr defaultRowHeight="12.75" defaultColWidth="11.4258"/>
  <cols>
    <col min="1" max="1" width="17.1406" customWidth="1"/>
    <col min="2" max="2" width="13.7109" customWidth="1"/>
    <col min="3" max="4" width="12.8555" customWidth="1"/>
    <col min="5" max="5" width="14.2852" customWidth="1"/>
  </cols>
  <sheetData>
    <row r="1" ht="21" customHeight="1">
      <c r="A1" s="21" t="s">
        <v>20</v>
      </c>
      <c r="B1" s="21"/>
      <c r="C1" s="21"/>
      <c r="D1" s="21"/>
      <c r="E1" s="21"/>
    </row>
    <row r="3">
      <c r="A3" t="s">
        <v>21</v>
      </c>
      <c r="B3" s="36">
        <v>12000</v>
      </c>
    </row>
    <row r="4">
      <c r="A4" t="s">
        <v>22</v>
      </c>
      <c r="B4" s="37">
        <v>0.044999999999999998</v>
      </c>
    </row>
    <row r="5">
      <c r="A5" t="s">
        <v>23</v>
      </c>
      <c r="B5" s="38">
        <v>36</v>
      </c>
    </row>
    <row r="6">
      <c r="A6" s="34" t="s">
        <v>24</v>
      </c>
      <c r="B6" s="5">
        <f>PMT(Rate/12,Months,-Amount)</f>
        <v>356.96309374051395</v>
      </c>
    </row>
    <row r="7">
      <c r="A7" t="s">
        <v>25</v>
      </c>
      <c r="B7" s="12">
        <f>B6*Months-Amount</f>
        <v>850.67137465850283</v>
      </c>
    </row>
    <row r="9" ht="18" customHeight="1">
      <c r="A9" s="13" t="s">
        <v>2</v>
      </c>
      <c r="B9" s="13" t="s">
        <v>26</v>
      </c>
      <c r="C9" s="13" t="s">
        <v>27</v>
      </c>
      <c r="D9" s="13" t="s">
        <v>28</v>
      </c>
      <c r="E9" s="13" t="s">
        <v>29</v>
      </c>
    </row>
    <row r="10">
      <c r="A10" s="35">
        <v>1</v>
      </c>
      <c r="B10" s="12">
        <f>$B$6</f>
        <v>356.96309374051395</v>
      </c>
      <c r="C10" s="12">
        <f>IPMT(Rate/12,A10,Months,-Amount)</f>
        <v>45</v>
      </c>
      <c r="D10" s="12">
        <f>PPMT(Rate/12,A10,Months,-Amount)</f>
        <v>311.96309374051395</v>
      </c>
      <c r="E10" s="12">
        <f>Amount-D10</f>
        <v>11688.036906259485</v>
      </c>
    </row>
    <row r="11">
      <c r="A11" s="33">
        <v>2</v>
      </c>
      <c r="B11" s="8">
        <f>$B$6</f>
        <v>356.96309374051395</v>
      </c>
      <c r="C11" s="8">
        <f>IPMT(Rate/12,A11,Months,-Amount)</f>
        <v>43.830138398473089</v>
      </c>
      <c r="D11" s="8">
        <f>PPMT(Rate/12,A11,Months,-Amount)</f>
        <v>313.13295534204087</v>
      </c>
      <c r="E11" s="8">
        <f>E10-D11</f>
        <v>11374.903950917445</v>
      </c>
    </row>
    <row r="12">
      <c r="A12" s="35">
        <v>3</v>
      </c>
      <c r="B12" s="12">
        <f>$B$6</f>
        <v>356.96309374051395</v>
      </c>
      <c r="C12" s="12">
        <f>IPMT(Rate/12,A12,Months,-Amount)</f>
        <v>42.655889815940462</v>
      </c>
      <c r="D12" s="12">
        <f>PPMT(Rate/12,A12,Months,-Amount)</f>
        <v>314.30720392457351</v>
      </c>
      <c r="E12" s="12">
        <f>E11-D12</f>
        <v>11060.596746992873</v>
      </c>
    </row>
    <row r="13">
      <c r="A13" s="33">
        <v>4</v>
      </c>
      <c r="B13" s="8">
        <f>$B$6</f>
        <v>356.96309374051395</v>
      </c>
      <c r="C13" s="8">
        <f>IPMT(Rate/12,A13,Months,-Amount)</f>
        <v>41.477237801223367</v>
      </c>
      <c r="D13" s="8">
        <f>PPMT(Rate/12,A13,Months,-Amount)</f>
        <v>315.48585593929056</v>
      </c>
      <c r="E13" s="8">
        <f>E12-D13</f>
        <v>10745.110891053582</v>
      </c>
    </row>
    <row r="14">
      <c r="A14" s="35">
        <v>5</v>
      </c>
      <c r="B14" s="12">
        <f>$B$6</f>
        <v>356.96309374051395</v>
      </c>
      <c r="C14" s="12">
        <f>IPMT(Rate/12,A14,Months,-Amount)</f>
        <v>40.294165841451033</v>
      </c>
      <c r="D14" s="12">
        <f>PPMT(Rate/12,A14,Months,-Amount)</f>
        <v>316.66892789906291</v>
      </c>
      <c r="E14" s="12">
        <f>E13-D14</f>
        <v>10428.441963154519</v>
      </c>
    </row>
    <row r="15">
      <c r="A15" s="33">
        <v>6</v>
      </c>
      <c r="B15" s="8">
        <f>$B$6</f>
        <v>356.96309374051395</v>
      </c>
      <c r="C15" s="8">
        <f>IPMT(Rate/12,A15,Months,-Amount)</f>
        <v>39.106657361829555</v>
      </c>
      <c r="D15" s="8">
        <f>PPMT(Rate/12,A15,Months,-Amount)</f>
        <v>317.85643637868441</v>
      </c>
      <c r="E15" s="8">
        <f>E14-D15</f>
        <v>10110.585526775834</v>
      </c>
    </row>
    <row r="16">
      <c r="A16" s="35">
        <v>7</v>
      </c>
      <c r="B16" s="12">
        <f>$B$6</f>
        <v>356.96309374051395</v>
      </c>
      <c r="C16" s="12">
        <f>IPMT(Rate/12,A16,Months,-Amount)</f>
        <v>37.914695725409516</v>
      </c>
      <c r="D16" s="12">
        <f>PPMT(Rate/12,A16,Months,-Amount)</f>
        <v>319.04839801510445</v>
      </c>
      <c r="E16" s="12">
        <f>E15-D16</f>
        <v>9791.5371287607304</v>
      </c>
    </row>
    <row r="17">
      <c r="A17" s="33">
        <v>8</v>
      </c>
      <c r="B17" s="8">
        <f>$B$6</f>
        <v>356.96309374051395</v>
      </c>
      <c r="C17" s="8">
        <f>IPMT(Rate/12,A17,Months,-Amount)</f>
        <v>36.718264232852931</v>
      </c>
      <c r="D17" s="8">
        <f>PPMT(Rate/12,A17,Months,-Amount)</f>
        <v>320.24482950766105</v>
      </c>
      <c r="E17" s="8">
        <f>E16-D17</f>
        <v>9471.2922992530694</v>
      </c>
    </row>
    <row r="18">
      <c r="A18" s="35">
        <v>9</v>
      </c>
      <c r="B18" s="12">
        <f>$B$6</f>
        <v>356.96309374051395</v>
      </c>
      <c r="C18" s="12">
        <f>IPMT(Rate/12,A18,Months,-Amount)</f>
        <v>35.5173461221992</v>
      </c>
      <c r="D18" s="12">
        <f>PPMT(Rate/12,A18,Months,-Amount)</f>
        <v>321.44574761831473</v>
      </c>
      <c r="E18" s="12">
        <f>E17-D18</f>
        <v>9149.8465516347551</v>
      </c>
    </row>
    <row r="19">
      <c r="A19" s="33">
        <v>10</v>
      </c>
      <c r="B19" s="8">
        <f>$B$6</f>
        <v>356.96309374051395</v>
      </c>
      <c r="C19" s="8">
        <f>IPMT(Rate/12,A19,Months,-Amount)</f>
        <v>34.311924568630523</v>
      </c>
      <c r="D19" s="8">
        <f>PPMT(Rate/12,A19,Months,-Amount)</f>
        <v>322.65116917188345</v>
      </c>
      <c r="E19" s="8">
        <f>E18-D19</f>
        <v>8827.1953824628708</v>
      </c>
    </row>
    <row r="20">
      <c r="A20" s="35">
        <v>11</v>
      </c>
      <c r="B20" s="12">
        <f>$B$6</f>
        <v>356.96309374051395</v>
      </c>
      <c r="C20" s="12">
        <f>IPMT(Rate/12,A20,Months,-Amount)</f>
        <v>33.101982684236013</v>
      </c>
      <c r="D20" s="12">
        <f>PPMT(Rate/12,A20,Months,-Amount)</f>
        <v>323.86111105627793</v>
      </c>
      <c r="E20" s="12">
        <f>E19-D20</f>
        <v>8503.334271406593</v>
      </c>
    </row>
    <row r="21">
      <c r="A21" s="33">
        <v>12</v>
      </c>
      <c r="B21" s="8">
        <f>$B$6</f>
        <v>356.96309374051395</v>
      </c>
      <c r="C21" s="8">
        <f>IPMT(Rate/12,A21,Months,-Amount)</f>
        <v>31.887503517775002</v>
      </c>
      <c r="D21" s="8">
        <f>PPMT(Rate/12,A21,Months,-Amount)</f>
        <v>325.07559022273892</v>
      </c>
      <c r="E21" s="8">
        <f>E20-D21</f>
        <v>8178.2586811838537</v>
      </c>
    </row>
    <row r="22">
      <c r="A22" s="35">
        <v>13</v>
      </c>
      <c r="B22" s="12">
        <f>$B$6</f>
        <v>356.96309374051395</v>
      </c>
      <c r="C22" s="12">
        <f>IPMT(Rate/12,A22,Months,-Amount)</f>
        <v>30.668470054439744</v>
      </c>
      <c r="D22" s="12">
        <f>PPMT(Rate/12,A22,Months,-Amount)</f>
        <v>326.2946236860742</v>
      </c>
      <c r="E22" s="12">
        <f>E21-D22</f>
        <v>7851.9640574977793</v>
      </c>
    </row>
    <row r="23">
      <c r="A23" s="33">
        <v>14</v>
      </c>
      <c r="B23" s="8">
        <f>$B$6</f>
        <v>356.96309374051395</v>
      </c>
      <c r="C23" s="8">
        <f>IPMT(Rate/12,A23,Months,-Amount)</f>
        <v>29.444865215617018</v>
      </c>
      <c r="D23" s="8">
        <f>PPMT(Rate/12,A23,Months,-Amount)</f>
        <v>327.51822852489693</v>
      </c>
      <c r="E23" s="8">
        <f>E22-D23</f>
        <v>7524.4458289728827</v>
      </c>
    </row>
    <row r="24">
      <c r="A24" s="35">
        <v>15</v>
      </c>
      <c r="B24" s="12">
        <f>$B$6</f>
        <v>356.96309374051395</v>
      </c>
      <c r="C24" s="12">
        <f>IPMT(Rate/12,A24,Months,-Amount)</f>
        <v>28.21667185864866</v>
      </c>
      <c r="D24" s="12">
        <f>PPMT(Rate/12,A24,Months,-Amount)</f>
        <v>328.74642188186527</v>
      </c>
      <c r="E24" s="12">
        <f>E23-D24</f>
        <v>7195.6994070910177</v>
      </c>
    </row>
    <row r="25">
      <c r="A25" s="33">
        <v>16</v>
      </c>
      <c r="B25" s="8">
        <f>$B$6</f>
        <v>356.96309374051395</v>
      </c>
      <c r="C25" s="8">
        <f>IPMT(Rate/12,A25,Months,-Amount)</f>
        <v>26.983872776591674</v>
      </c>
      <c r="D25" s="8">
        <f>PPMT(Rate/12,A25,Months,-Amount)</f>
        <v>329.97922096392227</v>
      </c>
      <c r="E25" s="8">
        <f>E24-D25</f>
        <v>6865.7201861270951</v>
      </c>
    </row>
    <row r="26">
      <c r="A26" s="35">
        <v>17</v>
      </c>
      <c r="B26" s="12">
        <f>$B$6</f>
        <v>356.96309374051395</v>
      </c>
      <c r="C26" s="12">
        <f>IPMT(Rate/12,A26,Months,-Amount)</f>
        <v>25.746450697977011</v>
      </c>
      <c r="D26" s="12">
        <f>PPMT(Rate/12,A26,Months,-Amount)</f>
        <v>331.21664304253693</v>
      </c>
      <c r="E26" s="12">
        <f>E25-D26</f>
        <v>6534.5035430845583</v>
      </c>
    </row>
    <row r="27">
      <c r="A27" s="33">
        <v>18</v>
      </c>
      <c r="B27" s="8">
        <f>$B$6</f>
        <v>356.96309374051395</v>
      </c>
      <c r="C27" s="8">
        <f>IPMT(Rate/12,A27,Months,-Amount)</f>
        <v>24.504388286567544</v>
      </c>
      <c r="D27" s="8">
        <f>PPMT(Rate/12,A27,Months,-Amount)</f>
        <v>332.45870545394644</v>
      </c>
      <c r="E27" s="8">
        <f>E26-D27</f>
        <v>6202.0448376306122</v>
      </c>
    </row>
    <row r="28">
      <c r="A28" s="35">
        <v>19</v>
      </c>
      <c r="B28" s="12">
        <f>$B$6</f>
        <v>356.96309374051395</v>
      </c>
      <c r="C28" s="12">
        <f>IPMT(Rate/12,A28,Months,-Amount)</f>
        <v>23.257668141115253</v>
      </c>
      <c r="D28" s="12">
        <f>PPMT(Rate/12,A28,Months,-Amount)</f>
        <v>333.70542559939872</v>
      </c>
      <c r="E28" s="12">
        <f>E27-D28</f>
        <v>5868.3394120312132</v>
      </c>
    </row>
    <row r="29">
      <c r="A29" s="33">
        <v>20</v>
      </c>
      <c r="B29" s="8">
        <f>$B$6</f>
        <v>356.96309374051395</v>
      </c>
      <c r="C29" s="8">
        <f>IPMT(Rate/12,A29,Months,-Amount)</f>
        <v>22.006272795117553</v>
      </c>
      <c r="D29" s="8">
        <f>PPMT(Rate/12,A29,Months,-Amount)</f>
        <v>334.95682094539643</v>
      </c>
      <c r="E29" s="8">
        <f>E28-D29</f>
        <v>5533.3825910858168</v>
      </c>
    </row>
    <row r="30">
      <c r="A30" s="35">
        <v>21</v>
      </c>
      <c r="B30" s="12">
        <f>$B$6</f>
        <v>356.96309374051395</v>
      </c>
      <c r="C30" s="12">
        <f>IPMT(Rate/12,A30,Months,-Amount)</f>
        <v>20.750184716572342</v>
      </c>
      <c r="D30" s="12">
        <f>PPMT(Rate/12,A30,Months,-Amount)</f>
        <v>336.21290902394162</v>
      </c>
      <c r="E30" s="12">
        <f>E29-D30</f>
        <v>5197.1696820618754</v>
      </c>
    </row>
    <row r="31">
      <c r="A31" s="33">
        <v>22</v>
      </c>
      <c r="B31" s="8">
        <f>$B$6</f>
        <v>356.96309374051395</v>
      </c>
      <c r="C31" s="8">
        <f>IPMT(Rate/12,A31,Months,-Amount)</f>
        <v>19.489386307732595</v>
      </c>
      <c r="D31" s="8">
        <f>PPMT(Rate/12,A31,Months,-Amount)</f>
        <v>337.47370743278134</v>
      </c>
      <c r="E31" s="8">
        <f>E30-D31</f>
        <v>4859.6959746290941</v>
      </c>
    </row>
    <row r="32">
      <c r="A32" s="35">
        <v>23</v>
      </c>
      <c r="B32" s="12">
        <f>$B$6</f>
        <v>356.96309374051395</v>
      </c>
      <c r="C32" s="12">
        <f>IPMT(Rate/12,A32,Months,-Amount)</f>
        <v>18.22385990485968</v>
      </c>
      <c r="D32" s="12">
        <f>PPMT(Rate/12,A32,Months,-Amount)</f>
        <v>338.73923383565426</v>
      </c>
      <c r="E32" s="12">
        <f>E31-D32</f>
        <v>4520.9567407934401</v>
      </c>
    </row>
    <row r="33">
      <c r="A33" s="33">
        <v>24</v>
      </c>
      <c r="B33" s="8">
        <f>$B$6</f>
        <v>356.96309374051395</v>
      </c>
      <c r="C33" s="8">
        <f>IPMT(Rate/12,A33,Months,-Amount)</f>
        <v>16.953587777975997</v>
      </c>
      <c r="D33" s="8">
        <f>PPMT(Rate/12,A33,Months,-Amount)</f>
        <v>340.00950596253796</v>
      </c>
      <c r="E33" s="8">
        <f>E32-D33</f>
        <v>4180.9472348309018</v>
      </c>
    </row>
    <row r="34">
      <c r="A34" s="35">
        <v>25</v>
      </c>
      <c r="B34" s="12">
        <f>$B$6</f>
        <v>356.96309374051395</v>
      </c>
      <c r="C34" s="12">
        <f>IPMT(Rate/12,A34,Months,-Amount)</f>
        <v>15.678552130616518</v>
      </c>
      <c r="D34" s="12">
        <f>PPMT(Rate/12,A34,Months,-Amount)</f>
        <v>341.28454160989742</v>
      </c>
      <c r="E34" s="12">
        <f>E33-D34</f>
        <v>3839.6626932210042</v>
      </c>
    </row>
    <row r="35">
      <c r="A35" s="33">
        <v>26</v>
      </c>
      <c r="B35" s="8">
        <f>$B$6</f>
        <v>356.96309374051395</v>
      </c>
      <c r="C35" s="8">
        <f>IPMT(Rate/12,A35,Months,-Amount)</f>
        <v>14.398735099579412</v>
      </c>
      <c r="D35" s="8">
        <f>PPMT(Rate/12,A35,Months,-Amount)</f>
        <v>342.56435864093453</v>
      </c>
      <c r="E35" s="8">
        <f>E34-D35</f>
        <v>3497.0983345800696</v>
      </c>
    </row>
    <row r="36">
      <c r="A36" s="35">
        <v>27</v>
      </c>
      <c r="B36" s="12">
        <f>$B$6</f>
        <v>356.96309374051395</v>
      </c>
      <c r="C36" s="12">
        <f>IPMT(Rate/12,A36,Months,-Amount)</f>
        <v>13.114118754675912</v>
      </c>
      <c r="D36" s="12">
        <f>PPMT(Rate/12,A36,Months,-Amount)</f>
        <v>343.84897498583803</v>
      </c>
      <c r="E36" s="12">
        <f>E35-D36</f>
        <v>3153.2493595942315</v>
      </c>
    </row>
    <row r="37">
      <c r="A37" s="33">
        <v>28</v>
      </c>
      <c r="B37" s="8">
        <f>$B$6</f>
        <v>356.96309374051395</v>
      </c>
      <c r="C37" s="8">
        <f>IPMT(Rate/12,A37,Months,-Amount)</f>
        <v>11.824685098479053</v>
      </c>
      <c r="D37" s="8">
        <f>PPMT(Rate/12,A37,Months,-Amount)</f>
        <v>345.1384086420349</v>
      </c>
      <c r="E37" s="8">
        <f>E36-D37</f>
        <v>2808.1109509521966</v>
      </c>
    </row>
    <row r="38">
      <c r="A38" s="35">
        <v>29</v>
      </c>
      <c r="B38" s="12">
        <f>$B$6</f>
        <v>356.96309374051395</v>
      </c>
      <c r="C38" s="12">
        <f>IPMT(Rate/12,A38,Months,-Amount)</f>
        <v>10.530416066071497</v>
      </c>
      <c r="D38" s="12">
        <f>PPMT(Rate/12,A38,Months,-Amount)</f>
        <v>346.43267767444246</v>
      </c>
      <c r="E38" s="12">
        <f>E37-D38</f>
        <v>2461.6782732777542</v>
      </c>
    </row>
    <row r="39">
      <c r="A39" s="33">
        <v>30</v>
      </c>
      <c r="B39" s="8">
        <f>$B$6</f>
        <v>356.96309374051395</v>
      </c>
      <c r="C39" s="8">
        <f>IPMT(Rate/12,A39,Months,-Amount)</f>
        <v>9.2312935247923402</v>
      </c>
      <c r="D39" s="8">
        <f>PPMT(Rate/12,A39,Months,-Amount)</f>
        <v>347.73180021572159</v>
      </c>
      <c r="E39" s="8">
        <f>E38-D39</f>
        <v>2113.9464730620325</v>
      </c>
    </row>
    <row r="40">
      <c r="A40" s="35">
        <v>31</v>
      </c>
      <c r="B40" s="12">
        <f>$B$6</f>
        <v>356.96309374051395</v>
      </c>
      <c r="C40" s="12">
        <f>IPMT(Rate/12,A40,Months,-Amount)</f>
        <v>7.9272992739834143</v>
      </c>
      <c r="D40" s="12">
        <f>PPMT(Rate/12,A40,Months,-Amount)</f>
        <v>349.03579446653055</v>
      </c>
      <c r="E40" s="12">
        <f>E39-D40</f>
        <v>1764.9106785955018</v>
      </c>
    </row>
    <row r="41">
      <c r="A41" s="33">
        <v>32</v>
      </c>
      <c r="B41" s="8">
        <f>$B$6</f>
        <v>356.96309374051395</v>
      </c>
      <c r="C41" s="8">
        <f>IPMT(Rate/12,A41,Months,-Amount)</f>
        <v>6.6184150447339398</v>
      </c>
      <c r="D41" s="8">
        <f>PPMT(Rate/12,A41,Months,-Amount)</f>
        <v>350.34467869578003</v>
      </c>
      <c r="E41" s="8">
        <f>E40-D41</f>
        <v>1414.5659998997219</v>
      </c>
    </row>
    <row r="42">
      <c r="A42" s="35">
        <v>33</v>
      </c>
      <c r="B42" s="12">
        <f>$B$6</f>
        <v>356.96309374051395</v>
      </c>
      <c r="C42" s="12">
        <f>IPMT(Rate/12,A42,Months,-Amount)</f>
        <v>5.3046224996248359</v>
      </c>
      <c r="D42" s="12">
        <f>PPMT(Rate/12,A42,Months,-Amount)</f>
        <v>351.65847124088913</v>
      </c>
      <c r="E42" s="12">
        <f>E41-D42</f>
        <v>1062.9075286588327</v>
      </c>
    </row>
    <row r="43">
      <c r="A43" s="33">
        <v>34</v>
      </c>
      <c r="B43" s="8">
        <f>$B$6</f>
        <v>356.96309374051395</v>
      </c>
      <c r="C43" s="8">
        <f>IPMT(Rate/12,A43,Months,-Amount)</f>
        <v>3.9859032324714803</v>
      </c>
      <c r="D43" s="8">
        <f>PPMT(Rate/12,A43,Months,-Amount)</f>
        <v>352.9771905080425</v>
      </c>
      <c r="E43" s="8">
        <f>E42-D43</f>
        <v>709.93033815079025</v>
      </c>
    </row>
    <row r="44">
      <c r="A44" s="35">
        <v>35</v>
      </c>
      <c r="B44" s="12">
        <f>$B$6</f>
        <v>356.96309374051395</v>
      </c>
      <c r="C44" s="12">
        <f>IPMT(Rate/12,A44,Months,-Amount)</f>
        <v>2.6622387680663584</v>
      </c>
      <c r="D44" s="12">
        <f>PPMT(Rate/12,A44,Months,-Amount)</f>
        <v>354.30085497244761</v>
      </c>
      <c r="E44" s="12">
        <f>E43-D44</f>
        <v>355.62948317834264</v>
      </c>
    </row>
    <row r="45">
      <c r="A45" s="33">
        <v>36</v>
      </c>
      <c r="B45" s="8">
        <f>$B$6</f>
        <v>356.96309374051395</v>
      </c>
      <c r="C45" s="8">
        <f>IPMT(Rate/12,A45,Months,-Amount)</f>
        <v>1.3336105619197156</v>
      </c>
      <c r="D45" s="8">
        <f>PPMT(Rate/12,A45,Months,-Amount)</f>
        <v>355.62948317859423</v>
      </c>
      <c r="E45" s="8">
        <f>E44-D45</f>
        <v>-2.5158897187793627e-10</v>
      </c>
    </row>
  </sheetData>
  <mergeCells count="1">
    <mergeCell ref="A1:E1"/>
  </mergeCells>
  <conditionalFormatting sqref="C10:C45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Onyx Spreadsheet</Application>
</Properties>
</file>